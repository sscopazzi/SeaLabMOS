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\Desktop\scopazpriv\SeaLabCTDv2\"/>
    </mc:Choice>
  </mc:AlternateContent>
  <xr:revisionPtr revIDLastSave="0" documentId="8_{3AAAFDDC-A19F-4AB1-B432-A7669B00754D}" xr6:coauthVersionLast="47" xr6:coauthVersionMax="47" xr10:uidLastSave="{00000000-0000-0000-0000-000000000000}"/>
  <bookViews>
    <workbookView xWindow="-103" yWindow="-103" windowWidth="24892" windowHeight="15634" xr2:uid="{8AE7241A-83DF-401A-B2D8-DC93CC12F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E13" i="1"/>
  <c r="E12" i="1"/>
  <c r="E3" i="1"/>
  <c r="E17" i="1"/>
  <c r="E11" i="1"/>
  <c r="E21" i="1"/>
  <c r="E10" i="1"/>
  <c r="E20" i="1"/>
  <c r="E2" i="1"/>
  <c r="E4" i="1"/>
  <c r="E5" i="1"/>
  <c r="E6" i="1"/>
  <c r="E8" i="1"/>
  <c r="E9" i="1"/>
  <c r="E16" i="1"/>
  <c r="E18" i="1"/>
  <c r="E19" i="1"/>
  <c r="E15" i="1"/>
  <c r="E26" i="1" l="1"/>
</calcChain>
</file>

<file path=xl/sharedStrings.xml><?xml version="1.0" encoding="utf-8"?>
<sst xmlns="http://schemas.openxmlformats.org/spreadsheetml/2006/main" count="67" uniqueCount="48">
  <si>
    <t>Soldering Iron</t>
  </si>
  <si>
    <t>https://www.adafruit.com/product/3685</t>
  </si>
  <si>
    <t>.</t>
  </si>
  <si>
    <t>What</t>
  </si>
  <si>
    <t>Cost</t>
  </si>
  <si>
    <t>Link</t>
  </si>
  <si>
    <t>Solder</t>
  </si>
  <si>
    <t>https://www.adafruit.com/product/1930</t>
  </si>
  <si>
    <t>https://www.adafruit.com/product/148</t>
  </si>
  <si>
    <t>Solder Wick</t>
  </si>
  <si>
    <t>https://www.adafruit.com/product/4456</t>
  </si>
  <si>
    <t>Half-size breadboard</t>
  </si>
  <si>
    <t>https://www.adafruit.com/product/4539</t>
  </si>
  <si>
    <t>Heat Shrink</t>
  </si>
  <si>
    <t>https://www.adafruit.com/product/1649</t>
  </si>
  <si>
    <t>Num</t>
  </si>
  <si>
    <t>Cost Per</t>
  </si>
  <si>
    <t>Polyimide Tape</t>
  </si>
  <si>
    <t xml:space="preserve">Flush diagonal cutters </t>
  </si>
  <si>
    <t>20-30 AWG Wire Strippers</t>
  </si>
  <si>
    <t>https://www.adafruit.com/product/527</t>
  </si>
  <si>
    <t>https://www.adafruit.com/product/152</t>
  </si>
  <si>
    <t>Self-Adjusting Wire Strippers</t>
  </si>
  <si>
    <t>https://www.adafruit.com/product/4747</t>
  </si>
  <si>
    <t>Hook-up Wire Spool Set</t>
  </si>
  <si>
    <t>https://www.adafruit.com/product/3175</t>
  </si>
  <si>
    <t>https://www.adafruit.com/product/3057</t>
  </si>
  <si>
    <t>Helping hands</t>
  </si>
  <si>
    <t>https://www.amazon.com/KOTTO-Soldering-Magnetic-Flexible-Workshop/dp/B07W42SR65</t>
  </si>
  <si>
    <t>100K ohm Resistors (x25)</t>
  </si>
  <si>
    <t>https://www.adafruit.com/product/2787</t>
  </si>
  <si>
    <t>Soldering Iron tip cleaner</t>
  </si>
  <si>
    <t>https://www.amazon.com/Kaisiking-Soldering-Iron-Cleaner-Solder/dp/B0CNVS7BFZ?crid=1GX1974XKOUS6</t>
  </si>
  <si>
    <t>https://www.amazon.com/dp/B07HPZ3FF6</t>
  </si>
  <si>
    <t>Liquid Flux Pen</t>
  </si>
  <si>
    <t>https://www.adafruit.com/product/3468</t>
  </si>
  <si>
    <t>OR</t>
  </si>
  <si>
    <t>https://www.amazon.com/Weller-Digital-Soldering-Station-WE1010NA/dp/B077JDGY1J?crid=243Z2OCPATJRL</t>
  </si>
  <si>
    <t>Better one that comes with stand</t>
  </si>
  <si>
    <t>https://www.adafruit.com/product/2034</t>
  </si>
  <si>
    <t>but it costs $115</t>
  </si>
  <si>
    <t>Safety glasses (x12)</t>
  </si>
  <si>
    <t>https://www.amazon.com/TICONN-Clear-Safety-Glasses-Pack/dp/B0BGSFQJF6</t>
  </si>
  <si>
    <t>Simple pliers</t>
  </si>
  <si>
    <t>https://www.adafruit.com/product/146</t>
  </si>
  <si>
    <t>Solder sucker</t>
  </si>
  <si>
    <t>Fume extractor</t>
  </si>
  <si>
    <t>Digital multimeter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</si>
</sst>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164" fontId="2" fillId="0" borderId="0" xfId="1" applyNumberFormat="1" applyFont="1"/>
    <xf numFmtId="0" fontId="2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377C-B48C-44F1-8522-3296B92FD41F}">
  <dimension ref="B1:J26"/>
  <sheetViews>
    <sheetView tabSelected="1" zoomScale="130" zoomScaleNormal="130" workbookViewId="0">
      <selection activeCell="I9" sqref="I9"/>
    </sheetView>
  </sheetViews>
  <sheetFormatPr defaultRowHeight="15" x14ac:dyDescent="0.35"/>
  <cols>
    <col min="1" max="1" width="9.23046875" style="1"/>
    <col min="2" max="2" width="28.765625" style="1" bestFit="1" customWidth="1"/>
    <col min="3" max="3" width="11" style="5" bestFit="1" customWidth="1"/>
    <col min="4" max="4" width="5.69140625" style="6" bestFit="1" customWidth="1"/>
    <col min="5" max="5" width="9" style="5" bestFit="1" customWidth="1"/>
    <col min="6" max="6" width="9.23046875" style="1"/>
    <col min="7" max="7" width="4.765625" style="1" customWidth="1"/>
    <col min="8" max="16384" width="9.23046875" style="1"/>
  </cols>
  <sheetData>
    <row r="1" spans="2:10" ht="15.45" x14ac:dyDescent="0.4">
      <c r="B1" s="2" t="s">
        <v>3</v>
      </c>
      <c r="C1" s="3" t="s">
        <v>16</v>
      </c>
      <c r="D1" s="4" t="s">
        <v>15</v>
      </c>
      <c r="E1" s="3" t="s">
        <v>4</v>
      </c>
      <c r="F1" s="2" t="s">
        <v>5</v>
      </c>
    </row>
    <row r="2" spans="2:10" x14ac:dyDescent="0.35">
      <c r="B2" s="1" t="s">
        <v>0</v>
      </c>
      <c r="C2" s="5">
        <v>20</v>
      </c>
      <c r="D2" s="6">
        <v>1</v>
      </c>
      <c r="E2" s="5">
        <f t="shared" ref="E2:E13" si="0">C2*D2</f>
        <v>20</v>
      </c>
      <c r="F2" s="1" t="s">
        <v>1</v>
      </c>
      <c r="G2" s="1" t="s">
        <v>2</v>
      </c>
      <c r="H2" s="1" t="s">
        <v>36</v>
      </c>
      <c r="I2" s="1" t="s">
        <v>37</v>
      </c>
      <c r="J2" s="1" t="s">
        <v>2</v>
      </c>
    </row>
    <row r="3" spans="2:10" x14ac:dyDescent="0.35">
      <c r="B3" s="1" t="s">
        <v>31</v>
      </c>
      <c r="C3" s="5">
        <v>10</v>
      </c>
      <c r="D3" s="6">
        <v>1</v>
      </c>
      <c r="E3" s="5">
        <f t="shared" si="0"/>
        <v>10</v>
      </c>
      <c r="F3" s="1" t="s">
        <v>32</v>
      </c>
      <c r="G3" s="1" t="s">
        <v>2</v>
      </c>
      <c r="I3" s="1" t="s">
        <v>38</v>
      </c>
    </row>
    <row r="4" spans="2:10" x14ac:dyDescent="0.35">
      <c r="B4" s="1" t="s">
        <v>18</v>
      </c>
      <c r="C4" s="5">
        <v>7.25</v>
      </c>
      <c r="D4" s="6">
        <v>1</v>
      </c>
      <c r="E4" s="5">
        <f t="shared" si="0"/>
        <v>7.25</v>
      </c>
      <c r="F4" s="1" t="s">
        <v>21</v>
      </c>
      <c r="G4" s="1" t="s">
        <v>2</v>
      </c>
      <c r="I4" s="1" t="s">
        <v>40</v>
      </c>
    </row>
    <row r="5" spans="2:10" x14ac:dyDescent="0.35">
      <c r="B5" s="1" t="s">
        <v>19</v>
      </c>
      <c r="C5" s="5">
        <v>17.5</v>
      </c>
      <c r="D5" s="6">
        <v>1</v>
      </c>
      <c r="E5" s="5">
        <f t="shared" si="0"/>
        <v>17.5</v>
      </c>
      <c r="F5" s="1" t="s">
        <v>20</v>
      </c>
      <c r="G5" s="1" t="s">
        <v>2</v>
      </c>
    </row>
    <row r="6" spans="2:10" x14ac:dyDescent="0.35">
      <c r="B6" s="1" t="s">
        <v>22</v>
      </c>
      <c r="C6" s="5">
        <v>12</v>
      </c>
      <c r="D6" s="6">
        <v>1</v>
      </c>
      <c r="E6" s="5">
        <f t="shared" si="0"/>
        <v>12</v>
      </c>
      <c r="F6" s="1" t="s">
        <v>23</v>
      </c>
      <c r="G6" s="1" t="s">
        <v>2</v>
      </c>
    </row>
    <row r="7" spans="2:10" x14ac:dyDescent="0.35">
      <c r="B7" s="1" t="s">
        <v>43</v>
      </c>
      <c r="C7" s="5">
        <v>3</v>
      </c>
      <c r="D7" s="6">
        <v>1</v>
      </c>
      <c r="E7" s="5">
        <f t="shared" si="0"/>
        <v>3</v>
      </c>
      <c r="F7" s="1" t="s">
        <v>44</v>
      </c>
      <c r="G7" s="1" t="s">
        <v>2</v>
      </c>
    </row>
    <row r="8" spans="2:10" x14ac:dyDescent="0.35">
      <c r="B8" s="1" t="s">
        <v>45</v>
      </c>
      <c r="C8" s="5">
        <v>5</v>
      </c>
      <c r="D8" s="6">
        <v>1</v>
      </c>
      <c r="E8" s="5">
        <f t="shared" si="0"/>
        <v>5</v>
      </c>
      <c r="F8" s="1" t="s">
        <v>8</v>
      </c>
      <c r="G8" s="1" t="s">
        <v>2</v>
      </c>
    </row>
    <row r="9" spans="2:10" x14ac:dyDescent="0.35">
      <c r="B9" s="1" t="s">
        <v>11</v>
      </c>
      <c r="C9" s="5">
        <v>5</v>
      </c>
      <c r="D9" s="6">
        <v>2</v>
      </c>
      <c r="E9" s="5">
        <f t="shared" si="0"/>
        <v>10</v>
      </c>
      <c r="F9" s="1" t="s">
        <v>12</v>
      </c>
      <c r="G9" s="1" t="s">
        <v>2</v>
      </c>
    </row>
    <row r="10" spans="2:10" x14ac:dyDescent="0.35">
      <c r="B10" s="1" t="s">
        <v>27</v>
      </c>
      <c r="C10" s="5">
        <v>27</v>
      </c>
      <c r="D10" s="6">
        <v>1</v>
      </c>
      <c r="E10" s="5">
        <f t="shared" si="0"/>
        <v>27</v>
      </c>
      <c r="F10" s="1" t="s">
        <v>28</v>
      </c>
      <c r="G10" s="1" t="s">
        <v>2</v>
      </c>
    </row>
    <row r="11" spans="2:10" x14ac:dyDescent="0.35">
      <c r="B11" s="1" t="s">
        <v>46</v>
      </c>
      <c r="C11" s="5">
        <v>70</v>
      </c>
      <c r="D11" s="6">
        <v>1</v>
      </c>
      <c r="E11" s="5">
        <f t="shared" si="0"/>
        <v>70</v>
      </c>
      <c r="F11" s="1" t="s">
        <v>33</v>
      </c>
      <c r="G11" s="1" t="s">
        <v>2</v>
      </c>
    </row>
    <row r="12" spans="2:10" x14ac:dyDescent="0.35">
      <c r="B12" s="1" t="s">
        <v>47</v>
      </c>
      <c r="C12" s="5">
        <v>18</v>
      </c>
      <c r="D12" s="6">
        <v>1</v>
      </c>
      <c r="E12" s="5">
        <f t="shared" si="0"/>
        <v>18</v>
      </c>
      <c r="F12" s="1" t="s">
        <v>39</v>
      </c>
      <c r="G12" s="1" t="s">
        <v>2</v>
      </c>
    </row>
    <row r="13" spans="2:10" x14ac:dyDescent="0.35">
      <c r="B13" s="1" t="s">
        <v>41</v>
      </c>
      <c r="C13" s="5">
        <v>15</v>
      </c>
      <c r="D13" s="6">
        <v>1</v>
      </c>
      <c r="E13" s="5">
        <f t="shared" si="0"/>
        <v>15</v>
      </c>
      <c r="F13" s="1" t="s">
        <v>42</v>
      </c>
      <c r="G13" s="1" t="s">
        <v>2</v>
      </c>
    </row>
    <row r="15" spans="2:10" x14ac:dyDescent="0.35">
      <c r="B15" s="1" t="s">
        <v>6</v>
      </c>
      <c r="C15" s="5">
        <v>27.5</v>
      </c>
      <c r="D15" s="6">
        <v>2</v>
      </c>
      <c r="E15" s="5">
        <f>C15*D15</f>
        <v>55</v>
      </c>
      <c r="F15" s="1" t="s">
        <v>7</v>
      </c>
      <c r="G15" s="1" t="s">
        <v>2</v>
      </c>
    </row>
    <row r="16" spans="2:10" x14ac:dyDescent="0.35">
      <c r="B16" s="1" t="s">
        <v>9</v>
      </c>
      <c r="C16" s="5">
        <v>3</v>
      </c>
      <c r="D16" s="6">
        <v>2</v>
      </c>
      <c r="E16" s="5">
        <f t="shared" ref="E16:E21" si="1">C16*D16</f>
        <v>6</v>
      </c>
      <c r="F16" s="1" t="s">
        <v>10</v>
      </c>
      <c r="G16" s="1" t="s">
        <v>2</v>
      </c>
    </row>
    <row r="17" spans="2:7" x14ac:dyDescent="0.35">
      <c r="B17" s="1" t="s">
        <v>34</v>
      </c>
      <c r="C17" s="5">
        <v>8</v>
      </c>
      <c r="D17" s="6">
        <v>2</v>
      </c>
      <c r="E17" s="5">
        <f t="shared" si="1"/>
        <v>16</v>
      </c>
      <c r="F17" s="1" t="s">
        <v>35</v>
      </c>
      <c r="G17" s="1" t="s">
        <v>2</v>
      </c>
    </row>
    <row r="18" spans="2:7" x14ac:dyDescent="0.35">
      <c r="B18" s="1" t="s">
        <v>13</v>
      </c>
      <c r="C18" s="5">
        <v>5</v>
      </c>
      <c r="D18" s="6">
        <v>3</v>
      </c>
      <c r="E18" s="5">
        <f t="shared" si="1"/>
        <v>15</v>
      </c>
      <c r="F18" s="1" t="s">
        <v>14</v>
      </c>
      <c r="G18" s="1" t="s">
        <v>2</v>
      </c>
    </row>
    <row r="19" spans="2:7" x14ac:dyDescent="0.35">
      <c r="B19" s="1" t="s">
        <v>17</v>
      </c>
      <c r="C19" s="5">
        <v>5</v>
      </c>
      <c r="D19" s="6">
        <v>2</v>
      </c>
      <c r="E19" s="5">
        <f t="shared" si="1"/>
        <v>10</v>
      </c>
      <c r="F19" s="1" t="s">
        <v>26</v>
      </c>
      <c r="G19" s="1" t="s">
        <v>2</v>
      </c>
    </row>
    <row r="20" spans="2:7" x14ac:dyDescent="0.35">
      <c r="B20" s="1" t="s">
        <v>24</v>
      </c>
      <c r="C20" s="5">
        <v>30</v>
      </c>
      <c r="D20" s="6">
        <v>1</v>
      </c>
      <c r="E20" s="5">
        <f t="shared" si="1"/>
        <v>30</v>
      </c>
      <c r="F20" s="1" t="s">
        <v>25</v>
      </c>
      <c r="G20" s="1" t="s">
        <v>2</v>
      </c>
    </row>
    <row r="21" spans="2:7" x14ac:dyDescent="0.35">
      <c r="B21" s="1" t="s">
        <v>29</v>
      </c>
      <c r="C21" s="5">
        <v>1</v>
      </c>
      <c r="D21" s="6">
        <v>4</v>
      </c>
      <c r="E21" s="5">
        <f t="shared" si="1"/>
        <v>4</v>
      </c>
      <c r="F21" s="1" t="s">
        <v>30</v>
      </c>
      <c r="G21" s="1" t="s">
        <v>2</v>
      </c>
    </row>
    <row r="22" spans="2:7" x14ac:dyDescent="0.35">
      <c r="E22" s="1"/>
    </row>
    <row r="26" spans="2:7" x14ac:dyDescent="0.35">
      <c r="E26" s="5">
        <f>SUM(E2:E21)</f>
        <v>350.75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Scopazzi</dc:creator>
  <cp:lastModifiedBy>Sophie Scopazzi</cp:lastModifiedBy>
  <dcterms:created xsi:type="dcterms:W3CDTF">2026-06-29T01:53:31Z</dcterms:created>
  <dcterms:modified xsi:type="dcterms:W3CDTF">2026-06-29T02:30:01Z</dcterms:modified>
</cp:coreProperties>
</file>